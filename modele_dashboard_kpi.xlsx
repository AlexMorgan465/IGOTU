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" displayName="DATA" ref="A1:N1000" headerRowCount="1">
  <autoFilter ref="A1:N1000"/>
  <tableColumns count="14">
    <tableColumn id="1" name="Agent"/>
    <tableColumn id="2" name="DateTrait"/>
    <tableColumn id="3" name="DateFin"/>
    <tableColumn id="4" name="Credit"/>
    <tableColumn id="5" name="Produit"/>
    <tableColumn id="6" name="Signature"/>
    <tableColumn id="7" name="Decision"/>
    <tableColumn id="8" name="Ref"/>
    <tableColumn id="9" name="Delai"/>
    <tableColumn id="10" name="Annee"/>
    <tableColumn id="11" name="Mois"/>
    <tableColumn id="12" name="Semaine"/>
    <tableColumn id="13" name="Flag_OCA"/>
    <tableColumn id="14" name="Flag_OC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Agent</t>
        </is>
      </c>
      <c r="B1" s="1" t="inlineStr">
        <is>
          <t>DateTrait</t>
        </is>
      </c>
      <c r="C1" s="1" t="inlineStr">
        <is>
          <t>DateFin</t>
        </is>
      </c>
      <c r="D1" s="1" t="inlineStr">
        <is>
          <t>Credit</t>
        </is>
      </c>
      <c r="E1" s="1" t="inlineStr">
        <is>
          <t>Produit</t>
        </is>
      </c>
      <c r="F1" s="1" t="inlineStr">
        <is>
          <t>Signature</t>
        </is>
      </c>
      <c r="G1" s="1" t="inlineStr">
        <is>
          <t>Decision</t>
        </is>
      </c>
      <c r="H1" s="1" t="inlineStr">
        <is>
          <t>Ref</t>
        </is>
      </c>
      <c r="I1" s="1" t="inlineStr">
        <is>
          <t>Delai</t>
        </is>
      </c>
      <c r="J1" s="1" t="inlineStr">
        <is>
          <t>Annee</t>
        </is>
      </c>
      <c r="K1" s="1" t="inlineStr">
        <is>
          <t>Mois</t>
        </is>
      </c>
      <c r="L1" s="1" t="inlineStr">
        <is>
          <t>Semaine</t>
        </is>
      </c>
      <c r="M1" s="1" t="inlineStr">
        <is>
          <t>Flag_OCA</t>
        </is>
      </c>
      <c r="N1" s="1" t="inlineStr">
        <is>
          <t>Flag_OCR</t>
        </is>
      </c>
    </row>
    <row r="2">
      <c r="I2">
        <f>C2-B2</f>
        <v/>
      </c>
      <c r="J2">
        <f>YEAR(B2)</f>
        <v/>
      </c>
      <c r="K2">
        <f>MONTH(B2)</f>
        <v/>
      </c>
      <c r="L2">
        <f>WEEKNUM(B2)</f>
        <v/>
      </c>
      <c r="M2">
        <f>IF(G2="OCA",1,0)</f>
        <v/>
      </c>
      <c r="N2">
        <f>IF(G2="OCR",1,0)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Total dossiers</t>
        </is>
      </c>
      <c r="B1">
        <f>COUNTA(DATA[Ref])</f>
        <v/>
      </c>
    </row>
    <row r="2">
      <c r="A2" s="1" t="inlineStr">
        <is>
          <t>Taux OCA</t>
        </is>
      </c>
      <c r="B2">
        <f>SUM(DATA[Flag_OCA])/COUNTA(DATA[Ref])</f>
        <v/>
      </c>
    </row>
    <row r="3">
      <c r="A3" s="1" t="inlineStr">
        <is>
          <t>Taux OCR</t>
        </is>
      </c>
      <c r="B3">
        <f>SUM(DATA[Flag_OCR])/COUNTA(DATA[Ref])</f>
        <v/>
      </c>
    </row>
    <row r="4">
      <c r="A4" s="1" t="inlineStr">
        <is>
          <t>Délai moyen</t>
        </is>
      </c>
      <c r="B4">
        <f>AVERAGE(DATA[Delai])</f>
        <v/>
      </c>
    </row>
    <row r="5">
      <c r="A5" s="1" t="inlineStr">
        <is>
          <t>% Signature SE</t>
        </is>
      </c>
      <c r="B5">
        <f>COUNTIF(DATA[Signature],"SE")/COUNTA(DATA[Ref])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4" max="4"/>
    <col width="18" customWidth="1" min="7" max="7"/>
    <col width="18" customWidth="1" min="10" max="10"/>
  </cols>
  <sheetData>
    <row r="1">
      <c r="A1" s="1" t="inlineStr">
        <is>
          <t>TOTAL DOSSIERS</t>
        </is>
      </c>
      <c r="D1" s="1" t="inlineStr">
        <is>
          <t>TAUX OCA</t>
        </is>
      </c>
      <c r="G1" s="1" t="inlineStr">
        <is>
          <t>DÉLAI MOYEN</t>
        </is>
      </c>
      <c r="J1" s="1" t="inlineStr">
        <is>
          <t>% SE</t>
        </is>
      </c>
    </row>
    <row r="2">
      <c r="A2" s="2">
        <f>KPI!B1</f>
        <v/>
      </c>
      <c r="D2" s="2">
        <f>KPI!B2</f>
        <v/>
      </c>
      <c r="G2" s="2">
        <f>KPI!B4</f>
        <v/>
      </c>
      <c r="J2" s="2">
        <f>KPI!B5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2026-02-13T11:47:36Z</dcterms:created>
  <dcterms:modified xmlns:dcterms="http://purl.org/dc/terms/" xmlns:xsi="http://www.w3.org/2001/XMLSchema-instance" xsi:type="dcterms:W3CDTF">2026-02-13T11:47:36Z</dcterms:modified>
</cp:coreProperties>
</file>